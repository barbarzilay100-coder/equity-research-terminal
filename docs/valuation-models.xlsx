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Comps" sheetId="3" state="visible" r:id="rId3"/>
  </sheets>
  <definedNames>
    <definedName name="BaseFCF">Assumptions!$B$7</definedName>
    <definedName name="GrowthY15">Assumptions!$B$8</definedName>
    <definedName name="TermGrowth">Assumptions!$B$9</definedName>
    <definedName name="WACC">Assumptions!$B$10</definedName>
    <definedName name="NetDebt">Assumptions!$B$11</definedName>
    <definedName name="MktCap">Assumptions!$B$12</definedName>
    <definedName name="MktPrice">Assumptions!$B$13</definedName>
    <definedName name="SharesOut">Assumptions!$B$14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"/>
    <numFmt numFmtId="165" formatCode="0.0%"/>
    <numFmt numFmtId="166" formatCode="$#,##0.00"/>
    <numFmt numFmtId="167" formatCode="#,##0.000"/>
    <numFmt numFmtId="168" formatCode="0.000"/>
    <numFmt numFmtId="169" formatCode="0.0&quot;x&quot;"/>
  </numFmts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color rgb="000000FF"/>
      <sz val="11"/>
    </font>
    <font>
      <name val="Arial"/>
      <sz val="11"/>
    </font>
    <font>
      <name val="Arial"/>
      <color rgb="00008000"/>
      <sz val="1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165" fontId="2" fillId="2" borderId="0" pivotButton="0" quotePrefix="0" xfId="0"/>
    <xf numFmtId="166" fontId="2" fillId="0" borderId="0" pivotButton="0" quotePrefix="0" xfId="0"/>
    <xf numFmtId="167" fontId="3" fillId="0" borderId="0" pivotButton="0" quotePrefix="0" xfId="0"/>
    <xf numFmtId="164" fontId="4" fillId="0" borderId="0" pivotButton="0" quotePrefix="0" xfId="0"/>
    <xf numFmtId="168" fontId="4" fillId="0" borderId="0" pivotButton="0" quotePrefix="0" xfId="0"/>
    <xf numFmtId="164" fontId="3" fillId="0" borderId="0" pivotButton="0" quotePrefix="0" xfId="0"/>
    <xf numFmtId="166" fontId="1" fillId="2" borderId="0" pivotButton="0" quotePrefix="0" xfId="0"/>
    <xf numFmtId="166" fontId="4" fillId="0" borderId="0" pivotButton="0" quotePrefix="0" xfId="0"/>
    <xf numFmtId="165" fontId="1" fillId="0" borderId="0" pivotButton="0" quotePrefix="0" xfId="0"/>
    <xf numFmtId="166" fontId="3" fillId="0" borderId="0" pivotButton="0" quotePrefix="0" xfId="0"/>
    <xf numFmtId="169" fontId="2" fillId="0" borderId="0" pivotButton="0" quotePrefix="0" xfId="0"/>
    <xf numFmtId="169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build_excel.py</author>
  </authors>
  <commentList>
    <comment ref="B7" authorId="0" shapeId="0">
      <text>
        <t>Trailing twelve months: operating cash flow minus capex, summed from the last four quarterly cash-flow statements. Snapshot Sep 17, 2026. Net income over the same period is $133.749B.</t>
      </text>
    </comment>
    <comment ref="B8" authorId="0" shapeId="0">
      <text>
        <t>Deliberate lever. Snapshot fiscal-year revenue growth is 17.8% — 10% assumes FCF grows below revenue while capex stays elevated.</t>
      </text>
    </comment>
    <comment ref="B9" authorId="0" shapeId="0">
      <text>
        <t>Long-run nominal GDP-ish growth; must stay below WACC.</t>
      </text>
    </comment>
    <comment ref="B10" authorId="0" shapeId="0">
      <text>
        <t>Mega-cap equity discount rate assumption; flex in the sensitivity table.</t>
      </text>
    </comment>
    <comment ref="B11" authorId="0" shapeId="0">
      <text>
        <t>totalDebt 128.813B − totalCash 76.843B, snapshot.</t>
      </text>
    </comment>
  </commentList>
</comments>
</file>

<file path=xl/comments/comment2.xml><?xml version="1.0" encoding="utf-8"?>
<comments xmlns="http://schemas.openxmlformats.org/spreadsheetml/2006/main">
  <authors>
    <author>build_excel.py</author>
  </authors>
  <commentList>
    <comment ref="B20" authorId="0" shapeId="0">
      <text>
        <t>totalDebt 59.419B − totalCash 23.975B, snapshot.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</cols>
  <sheetData>
    <row r="1">
      <c r="A1" s="1" t="inlineStr">
        <is>
          <t>Assumptions — Microsoft (MSFT) 5-year FCF DCF</t>
        </is>
      </c>
    </row>
    <row r="2">
      <c r="A2" s="2" t="inlineStr">
        <is>
          <t>Blue = hardcoded input (edit these) · Yellow = key levers · Black = formula</t>
        </is>
      </c>
    </row>
    <row r="4">
      <c r="A4" s="3" t="inlineStr">
        <is>
          <t>As of (data snapshot)</t>
        </is>
      </c>
      <c r="B4" s="2" t="inlineStr">
        <is>
          <t>Sep 17, 2026</t>
        </is>
      </c>
    </row>
    <row r="5">
      <c r="A5" s="3" t="inlineStr">
        <is>
          <t>Source</t>
        </is>
      </c>
      <c r="B5" s="2" t="inlineStr">
        <is>
          <t>Yahoo Finance via yfinance pipeline (data.json)</t>
        </is>
      </c>
    </row>
    <row r="7">
      <c r="A7" s="3" t="inlineStr">
        <is>
          <t>Base FCF ($B, trailing)</t>
        </is>
      </c>
      <c r="B7" s="4" t="n">
        <v>66.98699999999999</v>
      </c>
    </row>
    <row r="8">
      <c r="A8" s="3" t="inlineStr">
        <is>
          <t>FCF growth, years 1-5</t>
        </is>
      </c>
      <c r="B8" s="5" t="n">
        <v>0.1</v>
      </c>
    </row>
    <row r="9">
      <c r="A9" s="3" t="inlineStr">
        <is>
          <t>Terminal growth</t>
        </is>
      </c>
      <c r="B9" s="5" t="n">
        <v>0.025</v>
      </c>
    </row>
    <row r="10">
      <c r="A10" s="3" t="inlineStr">
        <is>
          <t>WACC</t>
        </is>
      </c>
      <c r="B10" s="5" t="n">
        <v>0.09</v>
      </c>
    </row>
    <row r="11">
      <c r="A11" s="3" t="inlineStr">
        <is>
          <t>Net debt ($B) = debt − cash</t>
        </is>
      </c>
      <c r="B11" s="4" t="n">
        <v>51.97</v>
      </c>
    </row>
    <row r="12">
      <c r="A12" s="3" t="inlineStr">
        <is>
          <t>Market cap ($B)</t>
        </is>
      </c>
      <c r="B12" s="4" t="n">
        <v>3640.745</v>
      </c>
    </row>
    <row r="13">
      <c r="A13" s="3" t="inlineStr">
        <is>
          <t>Share price ($)</t>
        </is>
      </c>
      <c r="B13" s="6" t="n">
        <v>490.3</v>
      </c>
    </row>
    <row r="14">
      <c r="A14" s="3" t="inlineStr">
        <is>
          <t>Shares out (B)</t>
        </is>
      </c>
      <c r="B14" s="7">
        <f>MktCap/MktPrice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DCF — Microsoft (MSFT), 5-year free-cash-flow model</t>
        </is>
      </c>
    </row>
    <row r="3">
      <c r="A3" s="1" t="inlineStr"/>
      <c r="B3" s="1" t="inlineStr">
        <is>
          <t>Year 1</t>
        </is>
      </c>
      <c r="C3" s="1" t="inlineStr">
        <is>
          <t>Year 2</t>
        </is>
      </c>
      <c r="D3" s="1" t="inlineStr">
        <is>
          <t>Year 3</t>
        </is>
      </c>
      <c r="E3" s="1" t="inlineStr">
        <is>
          <t>Year 4</t>
        </is>
      </c>
      <c r="F3" s="1" t="inlineStr">
        <is>
          <t>Year 5</t>
        </is>
      </c>
    </row>
    <row r="4">
      <c r="A4" s="3" t="inlineStr">
        <is>
          <t>FCF ($B)</t>
        </is>
      </c>
      <c r="B4" s="8">
        <f>BaseFCF*(1+GrowthY15)^1</f>
        <v/>
      </c>
      <c r="C4" s="8">
        <f>BaseFCF*(1+GrowthY15)^2</f>
        <v/>
      </c>
      <c r="D4" s="8">
        <f>BaseFCF*(1+GrowthY15)^3</f>
        <v/>
      </c>
      <c r="E4" s="8">
        <f>BaseFCF*(1+GrowthY15)^4</f>
        <v/>
      </c>
      <c r="F4" s="8">
        <f>BaseFCF*(1+GrowthY15)^5</f>
        <v/>
      </c>
    </row>
    <row r="5">
      <c r="A5" s="3" t="inlineStr">
        <is>
          <t>Discount factor</t>
        </is>
      </c>
      <c r="B5" s="9">
        <f>1/(1+WACC)^1</f>
        <v/>
      </c>
      <c r="C5" s="9">
        <f>1/(1+WACC)^2</f>
        <v/>
      </c>
      <c r="D5" s="9">
        <f>1/(1+WACC)^3</f>
        <v/>
      </c>
      <c r="E5" s="9">
        <f>1/(1+WACC)^4</f>
        <v/>
      </c>
      <c r="F5" s="9">
        <f>1/(1+WACC)^5</f>
        <v/>
      </c>
    </row>
    <row r="6">
      <c r="A6" s="3" t="inlineStr">
        <is>
          <t>PV of FCF ($B)</t>
        </is>
      </c>
      <c r="B6" s="10">
        <f>B4*B5</f>
        <v/>
      </c>
      <c r="C6" s="10">
        <f>C4*C5</f>
        <v/>
      </c>
      <c r="D6" s="10">
        <f>D4*D5</f>
        <v/>
      </c>
      <c r="E6" s="10">
        <f>E4*E5</f>
        <v/>
      </c>
      <c r="F6" s="10">
        <f>F4*F5</f>
        <v/>
      </c>
    </row>
    <row r="8">
      <c r="A8" s="3" t="inlineStr">
        <is>
          <t>Sum PV, years 1-5 ($B)</t>
        </is>
      </c>
      <c r="B8" s="10">
        <f>SUM(B6:F6)</f>
        <v/>
      </c>
    </row>
    <row r="9">
      <c r="A9" s="3" t="inlineStr">
        <is>
          <t>Terminal value at year 5 ($B)</t>
        </is>
      </c>
      <c r="B9" s="8">
        <f>F4*(1+TermGrowth)/(WACC-TermGrowth)</f>
        <v/>
      </c>
    </row>
    <row r="10">
      <c r="A10" s="3" t="inlineStr">
        <is>
          <t>PV of terminal value ($B)</t>
        </is>
      </c>
      <c r="B10" s="10">
        <f>B9*F5</f>
        <v/>
      </c>
    </row>
    <row r="11">
      <c r="A11" s="3" t="inlineStr">
        <is>
          <t>Enterprise value ($B)</t>
        </is>
      </c>
      <c r="B11" s="10">
        <f>B8+B10</f>
        <v/>
      </c>
    </row>
    <row r="12">
      <c r="A12" s="3" t="inlineStr">
        <is>
          <t>Less: net debt ($B)</t>
        </is>
      </c>
      <c r="B12" s="8">
        <f>NetDebt</f>
        <v/>
      </c>
    </row>
    <row r="13">
      <c r="A13" s="3" t="inlineStr">
        <is>
          <t>Equity value ($B)</t>
        </is>
      </c>
      <c r="B13" s="10">
        <f>B11-B12</f>
        <v/>
      </c>
    </row>
    <row r="14">
      <c r="A14" s="3" t="inlineStr">
        <is>
          <t>Implied value per share ($)</t>
        </is>
      </c>
      <c r="B14" s="11">
        <f>B13/SharesOut</f>
        <v/>
      </c>
    </row>
    <row r="15">
      <c r="A15" s="3" t="inlineStr">
        <is>
          <t>Market price ($)</t>
        </is>
      </c>
      <c r="B15" s="12">
        <f>MktPrice</f>
        <v/>
      </c>
    </row>
    <row r="16">
      <c r="A16" s="3" t="inlineStr">
        <is>
          <t>Implied upside/(downside)</t>
        </is>
      </c>
      <c r="B16" s="13">
        <f>B14/B15-1</f>
        <v/>
      </c>
    </row>
    <row r="18">
      <c r="A18" s="2" t="inlineStr">
        <is>
          <t>Reading the gap: the base case compounds trailing FCF at a flat rate with no margin expansion,</t>
        </is>
      </c>
    </row>
    <row r="19">
      <c r="A19" s="2" t="inlineStr">
        <is>
          <t>so it reads below market. Net income is 2.0x trailing FCF — this model values cash conversion, not accounting profit.</t>
        </is>
      </c>
    </row>
    <row r="20">
      <c r="A20" s="2" t="inlineStr">
        <is>
          <t>Flex the growth lever (Assumptions!B8) and the table below to see what is being priced in.</t>
        </is>
      </c>
    </row>
    <row r="22">
      <c r="A22" s="1" t="inlineStr">
        <is>
          <t>Sensitivity — implied value per share ($): WACC (rows) × terminal growth (columns)</t>
        </is>
      </c>
    </row>
    <row r="23">
      <c r="B23" s="13" t="n">
        <v>0.015</v>
      </c>
      <c r="C23" s="13" t="n">
        <v>0.02</v>
      </c>
      <c r="D23" s="13" t="n">
        <v>0.025</v>
      </c>
      <c r="E23" s="13" t="n">
        <v>0.03</v>
      </c>
      <c r="F23" s="13" t="n">
        <v>0.035</v>
      </c>
    </row>
    <row r="24">
      <c r="A24" s="13" t="n">
        <v>0.08</v>
      </c>
      <c r="B24" s="14">
        <f>(BaseFCF*(1+GrowthY15)^1/(1+$A24)^1+BaseFCF*(1+GrowthY15)^2/(1+$A24)^2+BaseFCF*(1+GrowthY15)^3/(1+$A24)^3+BaseFCF*(1+GrowthY15)^4/(1+$A24)^4+BaseFCF*(1+GrowthY15)^5/(1+$A24)^5+BaseFCF*(1+GrowthY15)^5*(1+B$23)/(($A24-B$23)*(1+$A24)^5)-NetDebt)/SharesOut</f>
        <v/>
      </c>
      <c r="C24" s="14">
        <f>(BaseFCF*(1+GrowthY15)^1/(1+$A24)^1+BaseFCF*(1+GrowthY15)^2/(1+$A24)^2+BaseFCF*(1+GrowthY15)^3/(1+$A24)^3+BaseFCF*(1+GrowthY15)^4/(1+$A24)^4+BaseFCF*(1+GrowthY15)^5/(1+$A24)^5+BaseFCF*(1+GrowthY15)^5*(1+C$23)/(($A24-C$23)*(1+$A24)^5)-NetDebt)/SharesOut</f>
        <v/>
      </c>
      <c r="D24" s="14">
        <f>(BaseFCF*(1+GrowthY15)^1/(1+$A24)^1+BaseFCF*(1+GrowthY15)^2/(1+$A24)^2+BaseFCF*(1+GrowthY15)^3/(1+$A24)^3+BaseFCF*(1+GrowthY15)^4/(1+$A24)^4+BaseFCF*(1+GrowthY15)^5/(1+$A24)^5+BaseFCF*(1+GrowthY15)^5*(1+D$23)/(($A24-D$23)*(1+$A24)^5)-NetDebt)/SharesOut</f>
        <v/>
      </c>
      <c r="E24" s="14">
        <f>(BaseFCF*(1+GrowthY15)^1/(1+$A24)^1+BaseFCF*(1+GrowthY15)^2/(1+$A24)^2+BaseFCF*(1+GrowthY15)^3/(1+$A24)^3+BaseFCF*(1+GrowthY15)^4/(1+$A24)^4+BaseFCF*(1+GrowthY15)^5/(1+$A24)^5+BaseFCF*(1+GrowthY15)^5*(1+E$23)/(($A24-E$23)*(1+$A24)^5)-NetDebt)/SharesOut</f>
        <v/>
      </c>
      <c r="F24" s="14">
        <f>(BaseFCF*(1+GrowthY15)^1/(1+$A24)^1+BaseFCF*(1+GrowthY15)^2/(1+$A24)^2+BaseFCF*(1+GrowthY15)^3/(1+$A24)^3+BaseFCF*(1+GrowthY15)^4/(1+$A24)^4+BaseFCF*(1+GrowthY15)^5/(1+$A24)^5+BaseFCF*(1+GrowthY15)^5*(1+F$23)/(($A24-F$23)*(1+$A24)^5)-NetDebt)/SharesOut</f>
        <v/>
      </c>
    </row>
    <row r="25">
      <c r="A25" s="13" t="n">
        <v>0.08500000000000001</v>
      </c>
      <c r="B25" s="14">
        <f>(BaseFCF*(1+GrowthY15)^1/(1+$A25)^1+BaseFCF*(1+GrowthY15)^2/(1+$A25)^2+BaseFCF*(1+GrowthY15)^3/(1+$A25)^3+BaseFCF*(1+GrowthY15)^4/(1+$A25)^4+BaseFCF*(1+GrowthY15)^5/(1+$A25)^5+BaseFCF*(1+GrowthY15)^5*(1+B$23)/(($A25-B$23)*(1+$A25)^5)-NetDebt)/SharesOut</f>
        <v/>
      </c>
      <c r="C25" s="14">
        <f>(BaseFCF*(1+GrowthY15)^1/(1+$A25)^1+BaseFCF*(1+GrowthY15)^2/(1+$A25)^2+BaseFCF*(1+GrowthY15)^3/(1+$A25)^3+BaseFCF*(1+GrowthY15)^4/(1+$A25)^4+BaseFCF*(1+GrowthY15)^5/(1+$A25)^5+BaseFCF*(1+GrowthY15)^5*(1+C$23)/(($A25-C$23)*(1+$A25)^5)-NetDebt)/SharesOut</f>
        <v/>
      </c>
      <c r="D25" s="14">
        <f>(BaseFCF*(1+GrowthY15)^1/(1+$A25)^1+BaseFCF*(1+GrowthY15)^2/(1+$A25)^2+BaseFCF*(1+GrowthY15)^3/(1+$A25)^3+BaseFCF*(1+GrowthY15)^4/(1+$A25)^4+BaseFCF*(1+GrowthY15)^5/(1+$A25)^5+BaseFCF*(1+GrowthY15)^5*(1+D$23)/(($A25-D$23)*(1+$A25)^5)-NetDebt)/SharesOut</f>
        <v/>
      </c>
      <c r="E25" s="14">
        <f>(BaseFCF*(1+GrowthY15)^1/(1+$A25)^1+BaseFCF*(1+GrowthY15)^2/(1+$A25)^2+BaseFCF*(1+GrowthY15)^3/(1+$A25)^3+BaseFCF*(1+GrowthY15)^4/(1+$A25)^4+BaseFCF*(1+GrowthY15)^5/(1+$A25)^5+BaseFCF*(1+GrowthY15)^5*(1+E$23)/(($A25-E$23)*(1+$A25)^5)-NetDebt)/SharesOut</f>
        <v/>
      </c>
      <c r="F25" s="14">
        <f>(BaseFCF*(1+GrowthY15)^1/(1+$A25)^1+BaseFCF*(1+GrowthY15)^2/(1+$A25)^2+BaseFCF*(1+GrowthY15)^3/(1+$A25)^3+BaseFCF*(1+GrowthY15)^4/(1+$A25)^4+BaseFCF*(1+GrowthY15)^5/(1+$A25)^5+BaseFCF*(1+GrowthY15)^5*(1+F$23)/(($A25-F$23)*(1+$A25)^5)-NetDebt)/SharesOut</f>
        <v/>
      </c>
    </row>
    <row r="26">
      <c r="A26" s="13" t="n">
        <v>0.09</v>
      </c>
      <c r="B26" s="14">
        <f>(BaseFCF*(1+GrowthY15)^1/(1+$A26)^1+BaseFCF*(1+GrowthY15)^2/(1+$A26)^2+BaseFCF*(1+GrowthY15)^3/(1+$A26)^3+BaseFCF*(1+GrowthY15)^4/(1+$A26)^4+BaseFCF*(1+GrowthY15)^5/(1+$A26)^5+BaseFCF*(1+GrowthY15)^5*(1+B$23)/(($A26-B$23)*(1+$A26)^5)-NetDebt)/SharesOut</f>
        <v/>
      </c>
      <c r="C26" s="14">
        <f>(BaseFCF*(1+GrowthY15)^1/(1+$A26)^1+BaseFCF*(1+GrowthY15)^2/(1+$A26)^2+BaseFCF*(1+GrowthY15)^3/(1+$A26)^3+BaseFCF*(1+GrowthY15)^4/(1+$A26)^4+BaseFCF*(1+GrowthY15)^5/(1+$A26)^5+BaseFCF*(1+GrowthY15)^5*(1+C$23)/(($A26-C$23)*(1+$A26)^5)-NetDebt)/SharesOut</f>
        <v/>
      </c>
      <c r="D26" s="14">
        <f>(BaseFCF*(1+GrowthY15)^1/(1+$A26)^1+BaseFCF*(1+GrowthY15)^2/(1+$A26)^2+BaseFCF*(1+GrowthY15)^3/(1+$A26)^3+BaseFCF*(1+GrowthY15)^4/(1+$A26)^4+BaseFCF*(1+GrowthY15)^5/(1+$A26)^5+BaseFCF*(1+GrowthY15)^5*(1+D$23)/(($A26-D$23)*(1+$A26)^5)-NetDebt)/SharesOut</f>
        <v/>
      </c>
      <c r="E26" s="14">
        <f>(BaseFCF*(1+GrowthY15)^1/(1+$A26)^1+BaseFCF*(1+GrowthY15)^2/(1+$A26)^2+BaseFCF*(1+GrowthY15)^3/(1+$A26)^3+BaseFCF*(1+GrowthY15)^4/(1+$A26)^4+BaseFCF*(1+GrowthY15)^5/(1+$A26)^5+BaseFCF*(1+GrowthY15)^5*(1+E$23)/(($A26-E$23)*(1+$A26)^5)-NetDebt)/SharesOut</f>
        <v/>
      </c>
      <c r="F26" s="14">
        <f>(BaseFCF*(1+GrowthY15)^1/(1+$A26)^1+BaseFCF*(1+GrowthY15)^2/(1+$A26)^2+BaseFCF*(1+GrowthY15)^3/(1+$A26)^3+BaseFCF*(1+GrowthY15)^4/(1+$A26)^4+BaseFCF*(1+GrowthY15)^5/(1+$A26)^5+BaseFCF*(1+GrowthY15)^5*(1+F$23)/(($A26-F$23)*(1+$A26)^5)-NetDebt)/SharesOut</f>
        <v/>
      </c>
    </row>
    <row r="27">
      <c r="A27" s="13" t="n">
        <v>0.095</v>
      </c>
      <c r="B27" s="14">
        <f>(BaseFCF*(1+GrowthY15)^1/(1+$A27)^1+BaseFCF*(1+GrowthY15)^2/(1+$A27)^2+BaseFCF*(1+GrowthY15)^3/(1+$A27)^3+BaseFCF*(1+GrowthY15)^4/(1+$A27)^4+BaseFCF*(1+GrowthY15)^5/(1+$A27)^5+BaseFCF*(1+GrowthY15)^5*(1+B$23)/(($A27-B$23)*(1+$A27)^5)-NetDebt)/SharesOut</f>
        <v/>
      </c>
      <c r="C27" s="14">
        <f>(BaseFCF*(1+GrowthY15)^1/(1+$A27)^1+BaseFCF*(1+GrowthY15)^2/(1+$A27)^2+BaseFCF*(1+GrowthY15)^3/(1+$A27)^3+BaseFCF*(1+GrowthY15)^4/(1+$A27)^4+BaseFCF*(1+GrowthY15)^5/(1+$A27)^5+BaseFCF*(1+GrowthY15)^5*(1+C$23)/(($A27-C$23)*(1+$A27)^5)-NetDebt)/SharesOut</f>
        <v/>
      </c>
      <c r="D27" s="14">
        <f>(BaseFCF*(1+GrowthY15)^1/(1+$A27)^1+BaseFCF*(1+GrowthY15)^2/(1+$A27)^2+BaseFCF*(1+GrowthY15)^3/(1+$A27)^3+BaseFCF*(1+GrowthY15)^4/(1+$A27)^4+BaseFCF*(1+GrowthY15)^5/(1+$A27)^5+BaseFCF*(1+GrowthY15)^5*(1+D$23)/(($A27-D$23)*(1+$A27)^5)-NetDebt)/SharesOut</f>
        <v/>
      </c>
      <c r="E27" s="14">
        <f>(BaseFCF*(1+GrowthY15)^1/(1+$A27)^1+BaseFCF*(1+GrowthY15)^2/(1+$A27)^2+BaseFCF*(1+GrowthY15)^3/(1+$A27)^3+BaseFCF*(1+GrowthY15)^4/(1+$A27)^4+BaseFCF*(1+GrowthY15)^5/(1+$A27)^5+BaseFCF*(1+GrowthY15)^5*(1+E$23)/(($A27-E$23)*(1+$A27)^5)-NetDebt)/SharesOut</f>
        <v/>
      </c>
      <c r="F27" s="14">
        <f>(BaseFCF*(1+GrowthY15)^1/(1+$A27)^1+BaseFCF*(1+GrowthY15)^2/(1+$A27)^2+BaseFCF*(1+GrowthY15)^3/(1+$A27)^3+BaseFCF*(1+GrowthY15)^4/(1+$A27)^4+BaseFCF*(1+GrowthY15)^5/(1+$A27)^5+BaseFCF*(1+GrowthY15)^5*(1+F$23)/(($A27-F$23)*(1+$A27)^5)-NetDebt)/SharesOut</f>
        <v/>
      </c>
    </row>
    <row r="28">
      <c r="A28" s="13" t="n">
        <v>0.1</v>
      </c>
      <c r="B28" s="14">
        <f>(BaseFCF*(1+GrowthY15)^1/(1+$A28)^1+BaseFCF*(1+GrowthY15)^2/(1+$A28)^2+BaseFCF*(1+GrowthY15)^3/(1+$A28)^3+BaseFCF*(1+GrowthY15)^4/(1+$A28)^4+BaseFCF*(1+GrowthY15)^5/(1+$A28)^5+BaseFCF*(1+GrowthY15)^5*(1+B$23)/(($A28-B$23)*(1+$A28)^5)-NetDebt)/SharesOut</f>
        <v/>
      </c>
      <c r="C28" s="14">
        <f>(BaseFCF*(1+GrowthY15)^1/(1+$A28)^1+BaseFCF*(1+GrowthY15)^2/(1+$A28)^2+BaseFCF*(1+GrowthY15)^3/(1+$A28)^3+BaseFCF*(1+GrowthY15)^4/(1+$A28)^4+BaseFCF*(1+GrowthY15)^5/(1+$A28)^5+BaseFCF*(1+GrowthY15)^5*(1+C$23)/(($A28-C$23)*(1+$A28)^5)-NetDebt)/SharesOut</f>
        <v/>
      </c>
      <c r="D28" s="14">
        <f>(BaseFCF*(1+GrowthY15)^1/(1+$A28)^1+BaseFCF*(1+GrowthY15)^2/(1+$A28)^2+BaseFCF*(1+GrowthY15)^3/(1+$A28)^3+BaseFCF*(1+GrowthY15)^4/(1+$A28)^4+BaseFCF*(1+GrowthY15)^5/(1+$A28)^5+BaseFCF*(1+GrowthY15)^5*(1+D$23)/(($A28-D$23)*(1+$A28)^5)-NetDebt)/SharesOut</f>
        <v/>
      </c>
      <c r="E28" s="14">
        <f>(BaseFCF*(1+GrowthY15)^1/(1+$A28)^1+BaseFCF*(1+GrowthY15)^2/(1+$A28)^2+BaseFCF*(1+GrowthY15)^3/(1+$A28)^3+BaseFCF*(1+GrowthY15)^4/(1+$A28)^4+BaseFCF*(1+GrowthY15)^5/(1+$A28)^5+BaseFCF*(1+GrowthY15)^5*(1+E$23)/(($A28-E$23)*(1+$A28)^5)-NetDebt)/SharesOut</f>
        <v/>
      </c>
      <c r="F28" s="14">
        <f>(BaseFCF*(1+GrowthY15)^1/(1+$A28)^1+BaseFCF*(1+GrowthY15)^2/(1+$A28)^2+BaseFCF*(1+GrowthY15)^3/(1+$A28)^3+BaseFCF*(1+GrowthY15)^4/(1+$A28)^4+BaseFCF*(1+GrowthY15)^5/(1+$A28)^5+BaseFCF*(1+GrowthY15)^5*(1+F$23)/(($A28-F$23)*(1+$A28)^5)-NetDebt)/SharesOut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Trading comps — Broadcom (AVGO) vs. semiconductor peers</t>
        </is>
      </c>
    </row>
    <row r="2">
      <c r="A2" s="2" t="inlineStr">
        <is>
          <t>Snapshot Sep 17, 2026 from the pipeline (data.json). Peers = universe members with industry 'Semiconductors' — a finer peer set than the sector-level medians the site computes.</t>
        </is>
      </c>
    </row>
    <row r="4">
      <c r="A4" s="1" t="inlineStr">
        <is>
          <t>Ticker</t>
        </is>
      </c>
      <c r="B4" s="1" t="inlineStr">
        <is>
          <t>Company</t>
        </is>
      </c>
      <c r="C4" s="1" t="inlineStr">
        <is>
          <t>Price ($)</t>
        </is>
      </c>
      <c r="D4" s="1" t="inlineStr">
        <is>
          <t>Mkt Cap ($B)</t>
        </is>
      </c>
      <c r="E4" s="1" t="inlineStr">
        <is>
          <t>EV ($B)</t>
        </is>
      </c>
      <c r="F4" s="1" t="inlineStr">
        <is>
          <t>EV/EBITDA (x)</t>
        </is>
      </c>
      <c r="G4" s="1" t="inlineStr">
        <is>
          <t>Fwd P/E (x)</t>
        </is>
      </c>
      <c r="H4" s="1" t="inlineStr">
        <is>
          <t>EBITDA ($B)</t>
        </is>
      </c>
      <c r="I4" s="1" t="inlineStr">
        <is>
          <t>Fwd EPS ($)</t>
        </is>
      </c>
    </row>
    <row r="5">
      <c r="A5" s="3" t="inlineStr">
        <is>
          <t>NVDA</t>
        </is>
      </c>
      <c r="B5" s="3" t="inlineStr">
        <is>
          <t>NVIDIA Corporation</t>
        </is>
      </c>
      <c r="C5" s="6" t="n">
        <v>213.9</v>
      </c>
      <c r="D5" s="4" t="n">
        <v>5165.043</v>
      </c>
      <c r="E5" s="4" t="n">
        <v>5131.381</v>
      </c>
      <c r="F5" s="15" t="n">
        <v>25.496</v>
      </c>
      <c r="G5" s="15" t="n">
        <v>13.698463</v>
      </c>
      <c r="H5" s="10">
        <f>E5/F5</f>
        <v/>
      </c>
      <c r="I5" s="14">
        <f>C5/G5</f>
        <v/>
      </c>
    </row>
    <row r="6">
      <c r="A6" s="3" t="inlineStr">
        <is>
          <t>AMD</t>
        </is>
      </c>
      <c r="B6" s="3" t="inlineStr">
        <is>
          <t>Advanced Micro Devices, Inc.</t>
        </is>
      </c>
      <c r="C6" s="6" t="n">
        <v>512.5</v>
      </c>
      <c r="D6" s="4" t="n">
        <v>836.643</v>
      </c>
      <c r="E6" s="4" t="n">
        <v>827.808</v>
      </c>
      <c r="F6" s="15" t="n">
        <v>86.57299999999999</v>
      </c>
      <c r="G6" s="15" t="n">
        <v>32.914406</v>
      </c>
      <c r="H6" s="10">
        <f>E6/F6</f>
        <v/>
      </c>
      <c r="I6" s="14">
        <f>C6/G6</f>
        <v/>
      </c>
    </row>
    <row r="7">
      <c r="A7" s="3" t="inlineStr">
        <is>
          <t>INTC</t>
        </is>
      </c>
      <c r="B7" s="3" t="inlineStr">
        <is>
          <t>Intel Corporation</t>
        </is>
      </c>
      <c r="C7" s="6" t="n">
        <v>101.05</v>
      </c>
      <c r="D7" s="4" t="n">
        <v>534.1609999999999</v>
      </c>
      <c r="E7" s="4" t="n">
        <v>546.107</v>
      </c>
      <c r="F7" s="15" t="n">
        <v>32.429</v>
      </c>
      <c r="G7" s="15" t="n">
        <v>49.00392</v>
      </c>
      <c r="H7" s="10">
        <f>E7/F7</f>
        <v/>
      </c>
      <c r="I7" s="14">
        <f>C7/G7</f>
        <v/>
      </c>
    </row>
    <row r="8">
      <c r="A8" s="3" t="inlineStr">
        <is>
          <t>QCOM</t>
        </is>
      </c>
      <c r="B8" s="3" t="inlineStr">
        <is>
          <t>QUALCOMM Incorporated</t>
        </is>
      </c>
      <c r="C8" s="6" t="n">
        <v>184.84</v>
      </c>
      <c r="D8" s="4" t="n">
        <v>197.42</v>
      </c>
      <c r="E8" s="4" t="n">
        <v>201.091</v>
      </c>
      <c r="F8" s="15" t="n">
        <v>16.759</v>
      </c>
      <c r="G8" s="15" t="n">
        <v>18.114447</v>
      </c>
      <c r="H8" s="10">
        <f>E8/F8</f>
        <v/>
      </c>
      <c r="I8" s="14">
        <f>C8/G8</f>
        <v/>
      </c>
    </row>
    <row r="9">
      <c r="A9" s="3" t="inlineStr">
        <is>
          <t>TXN</t>
        </is>
      </c>
      <c r="B9" s="3" t="inlineStr">
        <is>
          <t>Texas Instruments Incorporated</t>
        </is>
      </c>
      <c r="C9" s="6" t="n">
        <v>260.67</v>
      </c>
      <c r="D9" s="4" t="n">
        <v>238.056</v>
      </c>
      <c r="E9" s="4" t="n">
        <v>245.107</v>
      </c>
      <c r="F9" s="15" t="n">
        <v>25.747</v>
      </c>
      <c r="G9" s="15" t="n">
        <v>24.4879</v>
      </c>
      <c r="H9" s="10">
        <f>E9/F9</f>
        <v/>
      </c>
      <c r="I9" s="14">
        <f>C9/G9</f>
        <v/>
      </c>
    </row>
    <row r="10">
      <c r="A10" s="3" t="inlineStr">
        <is>
          <t>AMAT</t>
        </is>
      </c>
      <c r="B10" s="3" t="inlineStr">
        <is>
          <t>Applied Materials, Inc.</t>
        </is>
      </c>
      <c r="C10" s="6" t="n">
        <v>415.38</v>
      </c>
      <c r="D10" s="4" t="n">
        <v>329.645</v>
      </c>
      <c r="E10" s="4" t="n">
        <v>327.757</v>
      </c>
      <c r="F10" s="15" t="n">
        <v>32.275</v>
      </c>
      <c r="G10" s="15" t="n">
        <v>22.507978</v>
      </c>
      <c r="H10" s="10">
        <f>E10/F10</f>
        <v/>
      </c>
      <c r="I10" s="14">
        <f>C10/G10</f>
        <v/>
      </c>
    </row>
    <row r="11">
      <c r="A11" s="3" t="inlineStr">
        <is>
          <t>MU</t>
        </is>
      </c>
      <c r="B11" s="3" t="inlineStr">
        <is>
          <t>Micron Technology, Inc.</t>
        </is>
      </c>
      <c r="C11" s="6" t="n">
        <v>926.55</v>
      </c>
      <c r="D11" s="4" t="n">
        <v>1046.439</v>
      </c>
      <c r="E11" s="4" t="n">
        <v>1026.793</v>
      </c>
      <c r="F11" s="15" t="n">
        <v>15.051</v>
      </c>
      <c r="G11" s="15" t="n">
        <v>5.9265184</v>
      </c>
      <c r="H11" s="10">
        <f>E11/F11</f>
        <v/>
      </c>
      <c r="I11" s="14">
        <f>C11/G11</f>
        <v/>
      </c>
    </row>
    <row r="12">
      <c r="A12" s="3" t="inlineStr">
        <is>
          <t>ADI</t>
        </is>
      </c>
      <c r="B12" s="3" t="inlineStr">
        <is>
          <t>Analog Devices, Inc.</t>
        </is>
      </c>
      <c r="C12" s="6" t="n">
        <v>362.04</v>
      </c>
      <c r="D12" s="4" t="n">
        <v>175.432</v>
      </c>
      <c r="E12" s="4" t="n">
        <v>182.271</v>
      </c>
      <c r="F12" s="15" t="n">
        <v>26.329</v>
      </c>
      <c r="G12" s="15" t="n">
        <v>22.145666</v>
      </c>
      <c r="H12" s="10">
        <f>E12/F12</f>
        <v/>
      </c>
      <c r="I12" s="14">
        <f>C12/G12</f>
        <v/>
      </c>
    </row>
    <row r="13">
      <c r="A13" s="3" t="inlineStr">
        <is>
          <t>LRCX</t>
        </is>
      </c>
      <c r="B13" s="3" t="inlineStr">
        <is>
          <t>Lam Research Corporation</t>
        </is>
      </c>
      <c r="C13" s="6" t="n">
        <v>269.23</v>
      </c>
      <c r="D13" s="4" t="n">
        <v>336.893</v>
      </c>
      <c r="E13" s="4" t="n">
        <v>335.436</v>
      </c>
      <c r="F13" s="15" t="n">
        <v>38.818</v>
      </c>
      <c r="G13" s="15" t="n">
        <v>23.106222</v>
      </c>
      <c r="H13" s="10">
        <f>E13/F13</f>
        <v/>
      </c>
      <c r="I13" s="14">
        <f>C13/G13</f>
        <v/>
      </c>
    </row>
    <row r="14">
      <c r="A14" s="3" t="inlineStr">
        <is>
          <t>KLAC</t>
        </is>
      </c>
      <c r="B14" s="3" t="inlineStr">
        <is>
          <t>KLA Corporation</t>
        </is>
      </c>
      <c r="C14" s="6" t="n">
        <v>167.36</v>
      </c>
      <c r="D14" s="4" t="n">
        <v>218.664</v>
      </c>
      <c r="E14" s="4" t="n">
        <v>219.913</v>
      </c>
      <c r="F14" s="15" t="n">
        <v>36.321</v>
      </c>
      <c r="G14" s="15" t="n">
        <v>24.959026</v>
      </c>
      <c r="H14" s="10">
        <f>E14/F14</f>
        <v/>
      </c>
      <c r="I14" s="14">
        <f>C14/G14</f>
        <v/>
      </c>
    </row>
    <row r="15">
      <c r="A15" s="3" t="inlineStr">
        <is>
          <t>MRVL</t>
        </is>
      </c>
      <c r="B15" s="3" t="inlineStr">
        <is>
          <t>Marvell Technology, Inc.</t>
        </is>
      </c>
      <c r="C15" s="6" t="n">
        <v>229.71</v>
      </c>
      <c r="D15" s="4" t="n">
        <v>206.441</v>
      </c>
      <c r="E15" s="4" t="n">
        <v>202.786</v>
      </c>
      <c r="F15" s="15" t="n">
        <v>71.145</v>
      </c>
      <c r="G15" s="15" t="n">
        <v>33.976498</v>
      </c>
      <c r="H15" s="10">
        <f>E15/F15</f>
        <v/>
      </c>
      <c r="I15" s="14">
        <f>C15/G15</f>
        <v/>
      </c>
    </row>
    <row r="16">
      <c r="A16" s="1" t="inlineStr">
        <is>
          <t>Median</t>
        </is>
      </c>
      <c r="B16" s="1" t="inlineStr">
        <is>
          <t>Peer median (11 names, excludes AVGO)</t>
        </is>
      </c>
      <c r="F16" s="16">
        <f>MEDIAN(F5:F15)</f>
        <v/>
      </c>
      <c r="G16" s="16">
        <f>MEDIAN(G5:G15)</f>
        <v/>
      </c>
    </row>
    <row r="18">
      <c r="A18" s="3" t="inlineStr">
        <is>
          <t>AVGO</t>
        </is>
      </c>
      <c r="B18" s="1" t="inlineStr">
        <is>
          <t>Broadcom Inc.</t>
        </is>
      </c>
      <c r="C18" s="6" t="n">
        <v>339.51</v>
      </c>
      <c r="D18" s="4" t="n">
        <v>1620.695</v>
      </c>
      <c r="E18" s="4" t="n">
        <v>1656.139</v>
      </c>
      <c r="F18" s="15" t="n">
        <v>31.69</v>
      </c>
      <c r="G18" s="15" t="n">
        <v>17.515043</v>
      </c>
      <c r="H18" s="10">
        <f>E18/F18</f>
        <v/>
      </c>
      <c r="I18" s="14">
        <f>C18/G18</f>
        <v/>
      </c>
    </row>
    <row r="19">
      <c r="A19" s="1" t="inlineStr">
        <is>
          <t>Implied valuation of AVGO at peer medians</t>
        </is>
      </c>
    </row>
    <row r="20">
      <c r="A20" s="3" t="inlineStr">
        <is>
          <t>Net debt ($B) = debt − cash</t>
        </is>
      </c>
      <c r="B20" s="4" t="n">
        <v>35.444</v>
      </c>
    </row>
    <row r="21">
      <c r="A21" s="3" t="inlineStr">
        <is>
          <t>Shares out (B)</t>
        </is>
      </c>
      <c r="B21" s="7">
        <f>D18/C18</f>
        <v/>
      </c>
    </row>
    <row r="22">
      <c r="A22" s="3" t="inlineStr">
        <is>
          <t>Implied EV @ median EV/EBITDA ($B)</t>
        </is>
      </c>
      <c r="B22" s="10">
        <f>F16*H18</f>
        <v/>
      </c>
    </row>
    <row r="23">
      <c r="A23" s="3" t="inlineStr">
        <is>
          <t>Implied equity ($B)</t>
        </is>
      </c>
      <c r="B23" s="10">
        <f>B22-B20</f>
        <v/>
      </c>
    </row>
    <row r="24">
      <c r="A24" s="3" t="inlineStr">
        <is>
          <t>Implied price — EV/EBITDA route ($)</t>
        </is>
      </c>
      <c r="B24" s="14">
        <f>B23/B21</f>
        <v/>
      </c>
    </row>
    <row r="25">
      <c r="A25" s="3" t="inlineStr">
        <is>
          <t>Implied price — Fwd P/E route ($)</t>
        </is>
      </c>
      <c r="B25" s="14">
        <f>G16*I18</f>
        <v/>
      </c>
    </row>
    <row r="26">
      <c r="A26" s="3" t="inlineStr">
        <is>
          <t>Blended implied value ($)</t>
        </is>
      </c>
      <c r="B26" s="11">
        <f>AVERAGE(B24:B25)</f>
        <v/>
      </c>
    </row>
    <row r="27">
      <c r="A27" s="3" t="inlineStr">
        <is>
          <t>Market price ($)</t>
        </is>
      </c>
      <c r="B27" s="14">
        <f>C18</f>
        <v/>
      </c>
    </row>
    <row r="28">
      <c r="A28" s="3" t="inlineStr">
        <is>
          <t>Implied upside/(downside)</t>
        </is>
      </c>
      <c r="B28" s="13">
        <f>B26/B27-1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2026-09-17T11:09:33Z</dcterms:created>
  <dcterms:modified xmlns:dcterms="http://purl.org/dc/terms/" xmlns:xsi="http://www.w3.org/2001/XMLSchema-instance" xsi:type="dcterms:W3CDTF">2026-09-17T11:09:33Z</dcterms:modified>
</cp:coreProperties>
</file>